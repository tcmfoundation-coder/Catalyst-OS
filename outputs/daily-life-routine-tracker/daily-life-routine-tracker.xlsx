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dcefb1524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Tracker" sheetId="1" r:id="R493296948ea4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m yyyy"/>
    <x:numFmt numFmtId="201" formatCode="0%"/>
    <x:numFmt numFmtId="202" formatCode="d"/>
  </x:numFmts>
  <x:fonts count="10">
    <x:font>
      <x:sz val="11"/>
      <x:name val="Carlito"/>
    </x:font>
    <x:font>
      <x:sz val="10"/>
      <x:color rgb="FF243247"/>
      <x:name val="Arial"/>
    </x:font>
    <x:font>
      <x:b/>
      <x:sz val="16"/>
      <x:color rgb="FF123B42"/>
      <x:name val="Arial"/>
    </x:font>
    <x:font>
      <x:i/>
      <x:sz val="10"/>
      <x:color rgb="FF5B6877"/>
      <x:name val="Arial"/>
    </x:font>
    <x:font>
      <x:b/>
      <x:sz val="10"/>
      <x:color rgb="FF334155"/>
      <x:name val="Arial"/>
    </x:font>
    <x:font>
      <x:b/>
      <x:sz val="10"/>
      <x:color rgb="FF0F766E"/>
      <x:name val="Arial"/>
    </x:font>
    <x:font>
      <x:b/>
      <x:sz val="10"/>
      <x:color rgb="FFFFFFFF"/>
      <x:name val="Arial"/>
    </x:font>
    <x:font>
      <x:b/>
      <x:sz val="9"/>
      <x:color rgb="FF45636A"/>
      <x:name val="Arial"/>
    </x:font>
    <x:font>
      <x:sz val="10"/>
      <x:color rgb="FF526171"/>
      <x:name val="Arial"/>
    </x:font>
    <x:font>
      <x:b/>
      <x:sz val="10"/>
      <x:color rgb="FF123B42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F2F1"/>
      </x:patternFill>
    </x:fill>
    <x:fill>
      <x:patternFill patternType="solid">
        <x:fgColor rgb="FF155E63"/>
      </x:patternFill>
    </x:fill>
    <x:fill>
      <x:patternFill patternType="solid">
        <x:fgColor rgb="FFEDF4F3"/>
      </x:patternFill>
    </x:fill>
    <x:fill>
      <x:patternFill patternType="solid">
        <x:fgColor rgb="FFF7F9FA"/>
      </x:patternFill>
    </x:fill>
    <x:fill>
      <x:patternFill patternType="solid">
        <x:fgColor rgb="FFFFF9E8"/>
      </x:patternFill>
    </x:fill>
    <x:fill>
      <x:patternFill patternType="solid">
        <x:fgColor rgb="FFDCEBE8"/>
      </x:patternFill>
    </x:fill>
    <x:fill>
      <x:patternFill patternType="solid">
        <x:fgColor rgb="FFEEF3F8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C7D2DA"/>
      </x:bottom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left" vertical="center"/>
    </x:xf>
    <x:xf numFmtId="202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201" fontId="9" fillId="8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/>
    </x:xf>
    <x:xf numFmtId="201" fontId="1" fillId="9" borderId="0" xfId="0" applyNumberFormat="1" applyFont="1" applyFill="1" applyBorder="1"/>
    <x:xf numFmtId="201" fontId="9" fillId="9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201" fontId="1" fillId="9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horizontal="left" vertical="center"/>
    </x:xf>
    <x:xf numFmtId="202" fontId="6" fillId="4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vertical="center"/>
    </x:xf>
    <x:xf numFmtId="0" fontId="8" fillId="6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horizontal="center" vertical="center"/>
    </x:xf>
    <x:xf numFmtId="201" fontId="1" fillId="9" borderId="2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201" fontId="9" fillId="8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276749"/>
      </x:font>
      <x:fill>
        <x:patternFill patternType="solid">
          <x:bgColor rgb="FFDDF2E2"/>
        </x:patternFill>
      </x:fill>
    </x:dxf>
    <x:dxf>
      <x:font>
        <x:color rgb="FF6B7280"/>
      </x:font>
      <x:fill>
        <x:patternFill patternType="solid">
          <x:bgColor rgb="FFF1F3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de0087f694545" /><Relationship Type="http://schemas.openxmlformats.org/officeDocument/2006/relationships/theme" Target="/xl/theme/theme1.xml" Id="Rbb8d8c70ea4a46a5" /><Relationship Type="http://schemas.openxmlformats.org/officeDocument/2006/relationships/sharedStrings" Target="/xl/sharedStrings.xml" Id="R2d0e8ff35dca43f2" /><Relationship Type="http://schemas.openxmlformats.org/officeDocument/2006/relationships/worksheet" Target="/xl/worksheets/sheet1.xml" Id="R493296948ea448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15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13" hidden="0" customWidth="1"/>
  </x:cols>
  <x:sheetData>
    <x:row r="1" ht="28" customHeight="1">
      <x:c r="A1" s="2" t="str">
        <x:v>Daily Life Routine Tracker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2" customHeight="1">
      <x:c r="A2" s="3" t="str">
        <x:v>Done / Skipped per routine.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>
      <x:c r="A3" s="5" t="str">
        <x:v>Month starting</x:v>
      </x:c>
      <x:c r="B3" s="7" t="d">
        <x:v>2026-10-01T00:00:00.000Z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5" t="str">
        <x:v>Month %</x:v>
      </x:c>
      <x:c r="AG3" s="4"/>
      <x:c r="AH3" s="10" t="str">
        <x:f>IF(COUNTIF(C7:AG18,"&lt;&gt;")=0,"",COUNTIF(C7:AG18,"Done")/COUNTIF(C7:AG18,"&lt;&gt;"))</x:f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26" customHeight="1">
      <x:c r="A5" s="39" t="str">
        <x:v>Routine</x:v>
      </x:c>
      <x:c r="B5" s="39" t="str">
        <x:v>Suggested time</x:v>
      </x:c>
      <x:c r="C5" s="40" t="n">
        <x:f>IF(DAY(DATE(YEAR($B$3),MONTH($B$3)+1,0))&gt;=1,DATE(YEAR($B$3),MONTH($B$3),1),"")</x:f>
        <x:v>46296</x:v>
      </x:c>
      <x:c r="D5" s="40" t="n">
        <x:f>IF(DAY(DATE(YEAR($B$3),MONTH($B$3)+1,0))&gt;=2,DATE(YEAR($B$3),MONTH($B$3),2),"")</x:f>
        <x:v>46297</x:v>
      </x:c>
      <x:c r="E5" s="40" t="n">
        <x:f>IF(DAY(DATE(YEAR($B$3),MONTH($B$3)+1,0))&gt;=3,DATE(YEAR($B$3),MONTH($B$3),3),"")</x:f>
        <x:v>46298</x:v>
      </x:c>
      <x:c r="F5" s="40" t="n">
        <x:f>IF(DAY(DATE(YEAR($B$3),MONTH($B$3)+1,0))&gt;=4,DATE(YEAR($B$3),MONTH($B$3),4),"")</x:f>
        <x:v>46299</x:v>
      </x:c>
      <x:c r="G5" s="40" t="n">
        <x:f>IF(DAY(DATE(YEAR($B$3),MONTH($B$3)+1,0))&gt;=5,DATE(YEAR($B$3),MONTH($B$3),5),"")</x:f>
        <x:v>46300</x:v>
      </x:c>
      <x:c r="H5" s="40" t="n">
        <x:f>IF(DAY(DATE(YEAR($B$3),MONTH($B$3)+1,0))&gt;=6,DATE(YEAR($B$3),MONTH($B$3),6),"")</x:f>
        <x:v>46301</x:v>
      </x:c>
      <x:c r="I5" s="40" t="n">
        <x:f>IF(DAY(DATE(YEAR($B$3),MONTH($B$3)+1,0))&gt;=7,DATE(YEAR($B$3),MONTH($B$3),7),"")</x:f>
        <x:v>46302</x:v>
      </x:c>
      <x:c r="J5" s="40" t="n">
        <x:f>IF(DAY(DATE(YEAR($B$3),MONTH($B$3)+1,0))&gt;=8,DATE(YEAR($B$3),MONTH($B$3),8),"")</x:f>
        <x:v>46303</x:v>
      </x:c>
      <x:c r="K5" s="40" t="n">
        <x:f>IF(DAY(DATE(YEAR($B$3),MONTH($B$3)+1,0))&gt;=9,DATE(YEAR($B$3),MONTH($B$3),9),"")</x:f>
        <x:v>46304</x:v>
      </x:c>
      <x:c r="L5" s="40" t="n">
        <x:f>IF(DAY(DATE(YEAR($B$3),MONTH($B$3)+1,0))&gt;=10,DATE(YEAR($B$3),MONTH($B$3),10),"")</x:f>
        <x:v>46305</x:v>
      </x:c>
      <x:c r="M5" s="40" t="n">
        <x:f>IF(DAY(DATE(YEAR($B$3),MONTH($B$3)+1,0))&gt;=11,DATE(YEAR($B$3),MONTH($B$3),11),"")</x:f>
        <x:v>46306</x:v>
      </x:c>
      <x:c r="N5" s="40" t="n">
        <x:f>IF(DAY(DATE(YEAR($B$3),MONTH($B$3)+1,0))&gt;=12,DATE(YEAR($B$3),MONTH($B$3),12),"")</x:f>
        <x:v>46307</x:v>
      </x:c>
      <x:c r="O5" s="40" t="n">
        <x:f>IF(DAY(DATE(YEAR($B$3),MONTH($B$3)+1,0))&gt;=13,DATE(YEAR($B$3),MONTH($B$3),13),"")</x:f>
        <x:v>46308</x:v>
      </x:c>
      <x:c r="P5" s="40" t="n">
        <x:f>IF(DAY(DATE(YEAR($B$3),MONTH($B$3)+1,0))&gt;=14,DATE(YEAR($B$3),MONTH($B$3),14),"")</x:f>
        <x:v>46309</x:v>
      </x:c>
      <x:c r="Q5" s="40" t="n">
        <x:f>IF(DAY(DATE(YEAR($B$3),MONTH($B$3)+1,0))&gt;=15,DATE(YEAR($B$3),MONTH($B$3),15),"")</x:f>
        <x:v>46310</x:v>
      </x:c>
      <x:c r="R5" s="40" t="n">
        <x:f>IF(DAY(DATE(YEAR($B$3),MONTH($B$3)+1,0))&gt;=16,DATE(YEAR($B$3),MONTH($B$3),16),"")</x:f>
        <x:v>46311</x:v>
      </x:c>
      <x:c r="S5" s="40" t="n">
        <x:f>IF(DAY(DATE(YEAR($B$3),MONTH($B$3)+1,0))&gt;=17,DATE(YEAR($B$3),MONTH($B$3),17),"")</x:f>
        <x:v>46312</x:v>
      </x:c>
      <x:c r="T5" s="40" t="n">
        <x:f>IF(DAY(DATE(YEAR($B$3),MONTH($B$3)+1,0))&gt;=18,DATE(YEAR($B$3),MONTH($B$3),18),"")</x:f>
        <x:v>46313</x:v>
      </x:c>
      <x:c r="U5" s="40" t="n">
        <x:f>IF(DAY(DATE(YEAR($B$3),MONTH($B$3)+1,0))&gt;=19,DATE(YEAR($B$3),MONTH($B$3),19),"")</x:f>
        <x:v>46314</x:v>
      </x:c>
      <x:c r="V5" s="40" t="n">
        <x:f>IF(DAY(DATE(YEAR($B$3),MONTH($B$3)+1,0))&gt;=20,DATE(YEAR($B$3),MONTH($B$3),20),"")</x:f>
        <x:v>46315</x:v>
      </x:c>
      <x:c r="W5" s="40" t="n">
        <x:f>IF(DAY(DATE(YEAR($B$3),MONTH($B$3)+1,0))&gt;=21,DATE(YEAR($B$3),MONTH($B$3),21),"")</x:f>
        <x:v>46316</x:v>
      </x:c>
      <x:c r="X5" s="40" t="n">
        <x:f>IF(DAY(DATE(YEAR($B$3),MONTH($B$3)+1,0))&gt;=22,DATE(YEAR($B$3),MONTH($B$3),22),"")</x:f>
        <x:v>46317</x:v>
      </x:c>
      <x:c r="Y5" s="40" t="n">
        <x:f>IF(DAY(DATE(YEAR($B$3),MONTH($B$3)+1,0))&gt;=23,DATE(YEAR($B$3),MONTH($B$3),23),"")</x:f>
        <x:v>46318</x:v>
      </x:c>
      <x:c r="Z5" s="40" t="n">
        <x:f>IF(DAY(DATE(YEAR($B$3),MONTH($B$3)+1,0))&gt;=24,DATE(YEAR($B$3),MONTH($B$3),24),"")</x:f>
        <x:v>46319</x:v>
      </x:c>
      <x:c r="AA5" s="40" t="n">
        <x:f>IF(DAY(DATE(YEAR($B$3),MONTH($B$3)+1,0))&gt;=25,DATE(YEAR($B$3),MONTH($B$3),25),"")</x:f>
        <x:v>46320</x:v>
      </x:c>
      <x:c r="AB5" s="40" t="n">
        <x:f>IF(DAY(DATE(YEAR($B$3),MONTH($B$3)+1,0))&gt;=26,DATE(YEAR($B$3),MONTH($B$3),26),"")</x:f>
        <x:v>46321</x:v>
      </x:c>
      <x:c r="AC5" s="40" t="n">
        <x:f>IF(DAY(DATE(YEAR($B$3),MONTH($B$3)+1,0))&gt;=27,DATE(YEAR($B$3),MONTH($B$3),27),"")</x:f>
        <x:v>46322</x:v>
      </x:c>
      <x:c r="AD5" s="40" t="n">
        <x:f>IF(DAY(DATE(YEAR($B$3),MONTH($B$3)+1,0))&gt;=28,DATE(YEAR($B$3),MONTH($B$3),28),"")</x:f>
        <x:v>46323</x:v>
      </x:c>
      <x:c r="AE5" s="40" t="n">
        <x:f>IF(DAY(DATE(YEAR($B$3),MONTH($B$3)+1,0))&gt;=29,DATE(YEAR($B$3),MONTH($B$3),29),"")</x:f>
        <x:v>46324</x:v>
      </x:c>
      <x:c r="AF5" s="40" t="n">
        <x:f>IF(DAY(DATE(YEAR($B$3),MONTH($B$3)+1,0))&gt;=30,DATE(YEAR($B$3),MONTH($B$3),30),"")</x:f>
        <x:v>46325</x:v>
      </x:c>
      <x:c r="AG5" s="40" t="n">
        <x:f>IF(DAY(DATE(YEAR($B$3),MONTH($B$3)+1,0))&gt;=31,DATE(YEAR($B$3),MONTH($B$3),31),"")</x:f>
        <x:v>46326</x:v>
      </x:c>
      <x:c r="AH5" s="41" t="str">
        <x:v>Completion</x:v>
      </x:c>
    </x:row>
    <x:row r="6">
      <x:c r="A6" s="42" t="str"/>
      <x:c r="B6" s="42" t="str"/>
      <x:c r="C6" s="42" t="str">
        <x:f>IF(C5="","",TEXT(C5,"ddd"))</x:f>
        <x:v>Thu</x:v>
      </x:c>
      <x:c r="D6" s="42" t="str">
        <x:f>IF(D5="","",TEXT(D5,"ddd"))</x:f>
        <x:v>Fri</x:v>
      </x:c>
      <x:c r="E6" s="42" t="str">
        <x:f>IF(E5="","",TEXT(E5,"ddd"))</x:f>
        <x:v>Sat</x:v>
      </x:c>
      <x:c r="F6" s="42" t="str">
        <x:f>IF(F5="","",TEXT(F5,"ddd"))</x:f>
        <x:v>Sun</x:v>
      </x:c>
      <x:c r="G6" s="42" t="str">
        <x:f>IF(G5="","",TEXT(G5,"ddd"))</x:f>
        <x:v>Mon</x:v>
      </x:c>
      <x:c r="H6" s="42" t="str">
        <x:f>IF(H5="","",TEXT(H5,"ddd"))</x:f>
        <x:v>Tue</x:v>
      </x:c>
      <x:c r="I6" s="42" t="str">
        <x:f>IF(I5="","",TEXT(I5,"ddd"))</x:f>
        <x:v>Wed</x:v>
      </x:c>
      <x:c r="J6" s="42" t="str">
        <x:f>IF(J5="","",TEXT(J5,"ddd"))</x:f>
        <x:v>Thu</x:v>
      </x:c>
      <x:c r="K6" s="42" t="str">
        <x:f>IF(K5="","",TEXT(K5,"ddd"))</x:f>
        <x:v>Fri</x:v>
      </x:c>
      <x:c r="L6" s="42" t="str">
        <x:f>IF(L5="","",TEXT(L5,"ddd"))</x:f>
        <x:v>Sat</x:v>
      </x:c>
      <x:c r="M6" s="42" t="str">
        <x:f>IF(M5="","",TEXT(M5,"ddd"))</x:f>
        <x:v>Sun</x:v>
      </x:c>
      <x:c r="N6" s="42" t="str">
        <x:f>IF(N5="","",TEXT(N5,"ddd"))</x:f>
        <x:v>Mon</x:v>
      </x:c>
      <x:c r="O6" s="42" t="str">
        <x:f>IF(O5="","",TEXT(O5,"ddd"))</x:f>
        <x:v>Tue</x:v>
      </x:c>
      <x:c r="P6" s="42" t="str">
        <x:f>IF(P5="","",TEXT(P5,"ddd"))</x:f>
        <x:v>Wed</x:v>
      </x:c>
      <x:c r="Q6" s="42" t="str">
        <x:f>IF(Q5="","",TEXT(Q5,"ddd"))</x:f>
        <x:v>Thu</x:v>
      </x:c>
      <x:c r="R6" s="42" t="str">
        <x:f>IF(R5="","",TEXT(R5,"ddd"))</x:f>
        <x:v>Fri</x:v>
      </x:c>
      <x:c r="S6" s="42" t="str">
        <x:f>IF(S5="","",TEXT(S5,"ddd"))</x:f>
        <x:v>Sat</x:v>
      </x:c>
      <x:c r="T6" s="42" t="str">
        <x:f>IF(T5="","",TEXT(T5,"ddd"))</x:f>
        <x:v>Sun</x:v>
      </x:c>
      <x:c r="U6" s="42" t="str">
        <x:f>IF(U5="","",TEXT(U5,"ddd"))</x:f>
        <x:v>Mon</x:v>
      </x:c>
      <x:c r="V6" s="42" t="str">
        <x:f>IF(V5="","",TEXT(V5,"ddd"))</x:f>
        <x:v>Tue</x:v>
      </x:c>
      <x:c r="W6" s="42" t="str">
        <x:f>IF(W5="","",TEXT(W5,"ddd"))</x:f>
        <x:v>Wed</x:v>
      </x:c>
      <x:c r="X6" s="42" t="str">
        <x:f>IF(X5="","",TEXT(X5,"ddd"))</x:f>
        <x:v>Thu</x:v>
      </x:c>
      <x:c r="Y6" s="42" t="str">
        <x:f>IF(Y5="","",TEXT(Y5,"ddd"))</x:f>
        <x:v>Fri</x:v>
      </x:c>
      <x:c r="Z6" s="42" t="str">
        <x:f>IF(Z5="","",TEXT(Z5,"ddd"))</x:f>
        <x:v>Sat</x:v>
      </x:c>
      <x:c r="AA6" s="42" t="str">
        <x:f>IF(AA5="","",TEXT(AA5,"ddd"))</x:f>
        <x:v>Sun</x:v>
      </x:c>
      <x:c r="AB6" s="42" t="str">
        <x:f>IF(AB5="","",TEXT(AB5,"ddd"))</x:f>
        <x:v>Mon</x:v>
      </x:c>
      <x:c r="AC6" s="42" t="str">
        <x:f>IF(AC5="","",TEXT(AC5,"ddd"))</x:f>
        <x:v>Tue</x:v>
      </x:c>
      <x:c r="AD6" s="42" t="str">
        <x:f>IF(AD5="","",TEXT(AD5,"ddd"))</x:f>
        <x:v>Wed</x:v>
      </x:c>
      <x:c r="AE6" s="42" t="str">
        <x:f>IF(AE5="","",TEXT(AE5,"ddd"))</x:f>
        <x:v>Thu</x:v>
      </x:c>
      <x:c r="AF6" s="42" t="str">
        <x:f>IF(AF5="","",TEXT(AF5,"ddd"))</x:f>
        <x:v>Fri</x:v>
      </x:c>
      <x:c r="AG6" s="42" t="str">
        <x:f>IF(AG5="","",TEXT(AG5,"ddd"))</x:f>
        <x:v>Sat</x:v>
      </x:c>
      <x:c r="AH6" s="43" t="str"/>
    </x:row>
    <x:row r="7" ht="23" customHeight="1">
      <x:c r="A7" s="44" t="str">
        <x:v>Wake up at target time</x:v>
      </x:c>
      <x:c r="B7" s="45" t="str">
        <x:v>Morning</x:v>
      </x:c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  <x:c r="AA7" s="46"/>
      <x:c r="AB7" s="46"/>
      <x:c r="AC7" s="46"/>
      <x:c r="AD7" s="46"/>
      <x:c r="AE7" s="46"/>
      <x:c r="AF7" s="46"/>
      <x:c r="AG7" s="46"/>
      <x:c r="AH7" s="47" t="str">
        <x:f>IFERROR(COUNTIF(C7:AG7,"Done")/COUNTIF(C7:AG7,"&lt;&gt;"),"")</x:f>
      </x:c>
    </x:row>
    <x:row r="8" ht="23" customHeight="1">
      <x:c r="A8" s="44" t="str">
        <x:v>Drink water</x:v>
      </x:c>
      <x:c r="B8" s="45" t="str">
        <x:v>Morning</x:v>
      </x:c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  <x:c r="AA8" s="46"/>
      <x:c r="AB8" s="46"/>
      <x:c r="AC8" s="46"/>
      <x:c r="AD8" s="46"/>
      <x:c r="AE8" s="46"/>
      <x:c r="AF8" s="46"/>
      <x:c r="AG8" s="46"/>
      <x:c r="AH8" s="47" t="str">
        <x:f>IFERROR(COUNTIF(C8:AG8,"Done")/COUNTIF(C8:AG8,"&lt;&gt;"),"")</x:f>
      </x:c>
    </x:row>
    <x:row r="9" ht="23" customHeight="1">
      <x:c r="A9" s="44" t="str">
        <x:v>Morning hygiene</x:v>
      </x:c>
      <x:c r="B9" s="45" t="str">
        <x:v>Morning</x:v>
      </x:c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  <x:c r="AA9" s="46"/>
      <x:c r="AB9" s="46"/>
      <x:c r="AC9" s="46"/>
      <x:c r="AD9" s="46"/>
      <x:c r="AE9" s="46"/>
      <x:c r="AF9" s="46"/>
      <x:c r="AG9" s="46"/>
      <x:c r="AH9" s="47" t="str">
        <x:f>IFERROR(COUNTIF(C9:AG9,"Done")/COUNTIF(C9:AG9,"&lt;&gt;"),"")</x:f>
      </x:c>
    </x:row>
    <x:row r="10" ht="23" customHeight="1">
      <x:c r="A10" s="44" t="str">
        <x:v>Stretch or move</x:v>
      </x:c>
      <x:c r="B10" s="45" t="str">
        <x:v>Morning</x:v>
      </x:c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  <x:c r="AA10" s="46"/>
      <x:c r="AB10" s="46"/>
      <x:c r="AC10" s="46"/>
      <x:c r="AD10" s="46"/>
      <x:c r="AE10" s="46"/>
      <x:c r="AF10" s="46"/>
      <x:c r="AG10" s="46"/>
      <x:c r="AH10" s="47" t="str">
        <x:f>IFERROR(COUNTIF(C10:AG10,"Done")/COUNTIF(C10:AG10,"&lt;&gt;"),"")</x:f>
      </x:c>
    </x:row>
    <x:row r="11" ht="23" customHeight="1">
      <x:c r="A11" s="44" t="str">
        <x:v>Eat a balanced breakfast</x:v>
      </x:c>
      <x:c r="B11" s="45" t="str">
        <x:v>Morning</x:v>
      </x:c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  <x:c r="AA11" s="46"/>
      <x:c r="AB11" s="46"/>
      <x:c r="AC11" s="46"/>
      <x:c r="AD11" s="46"/>
      <x:c r="AE11" s="46"/>
      <x:c r="AF11" s="46"/>
      <x:c r="AG11" s="46"/>
      <x:c r="AH11" s="47" t="str">
        <x:f>IFERROR(COUNTIF(C11:AG11,"Done")/COUNTIF(C11:AG11,"&lt;&gt;"),"")</x:f>
      </x:c>
    </x:row>
    <x:row r="12" ht="23" customHeight="1">
      <x:c r="A12" s="44" t="str">
        <x:v>Plan the day</x:v>
      </x:c>
      <x:c r="B12" s="45" t="str">
        <x:v>Daytime</x:v>
      </x:c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  <x:c r="AA12" s="46"/>
      <x:c r="AB12" s="46"/>
      <x:c r="AC12" s="46"/>
      <x:c r="AD12" s="46"/>
      <x:c r="AE12" s="46"/>
      <x:c r="AF12" s="46"/>
      <x:c r="AG12" s="46"/>
      <x:c r="AH12" s="47" t="str">
        <x:f>IFERROR(COUNTIF(C12:AG12,"Done")/COUNTIF(C12:AG12,"&lt;&gt;"),"")</x:f>
      </x:c>
    </x:row>
    <x:row r="13" ht="23" customHeight="1">
      <x:c r="A13" s="44" t="str">
        <x:v>Complete a focus session</x:v>
      </x:c>
      <x:c r="B13" s="45" t="str">
        <x:v>Daytime</x:v>
      </x:c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  <x:c r="AA13" s="46"/>
      <x:c r="AB13" s="46"/>
      <x:c r="AC13" s="46"/>
      <x:c r="AD13" s="46"/>
      <x:c r="AE13" s="46"/>
      <x:c r="AF13" s="46"/>
      <x:c r="AG13" s="46"/>
      <x:c r="AH13" s="47" t="str">
        <x:f>IFERROR(COUNTIF(C13:AG13,"Done")/COUNTIF(C13:AG13,"&lt;&gt;"),"")</x:f>
      </x:c>
    </x:row>
    <x:row r="14" ht="23" customHeight="1">
      <x:c r="A14" s="44" t="str">
        <x:v>Take a proper break</x:v>
      </x:c>
      <x:c r="B14" s="45" t="str">
        <x:v>Daytime</x:v>
      </x:c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  <x:c r="AA14" s="46"/>
      <x:c r="AB14" s="46"/>
      <x:c r="AC14" s="46"/>
      <x:c r="AD14" s="46"/>
      <x:c r="AE14" s="46"/>
      <x:c r="AF14" s="46"/>
      <x:c r="AG14" s="46"/>
      <x:c r="AH14" s="47" t="str">
        <x:f>IFERROR(COUNTIF(C14:AG14,"Done")/COUNTIF(C14:AG14,"&lt;&gt;"),"")</x:f>
      </x:c>
    </x:row>
    <x:row r="15" ht="23" customHeight="1">
      <x:c r="A15" s="44" t="str">
        <x:v>Read or learn something</x:v>
      </x:c>
      <x:c r="B15" s="45" t="str">
        <x:v>Anytime</x:v>
      </x:c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  <x:c r="AA15" s="46"/>
      <x:c r="AB15" s="46"/>
      <x:c r="AC15" s="46"/>
      <x:c r="AD15" s="46"/>
      <x:c r="AE15" s="46"/>
      <x:c r="AF15" s="46"/>
      <x:c r="AG15" s="46"/>
      <x:c r="AH15" s="47" t="str">
        <x:f>IFERROR(COUNTIF(C15:AG15,"Done")/COUNTIF(C15:AG15,"&lt;&gt;"),"")</x:f>
      </x:c>
    </x:row>
    <x:row r="16" ht="23" customHeight="1">
      <x:c r="A16" s="44" t="str">
        <x:v>Tidy/reset your space</x:v>
      </x:c>
      <x:c r="B16" s="45" t="str">
        <x:v>Evening</x:v>
      </x:c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  <x:c r="AA16" s="46"/>
      <x:c r="AB16" s="46"/>
      <x:c r="AC16" s="46"/>
      <x:c r="AD16" s="46"/>
      <x:c r="AE16" s="46"/>
      <x:c r="AF16" s="46"/>
      <x:c r="AG16" s="46"/>
      <x:c r="AH16" s="47" t="str">
        <x:f>IFERROR(COUNTIF(C16:AG16,"Done")/COUNTIF(C16:AG16,"&lt;&gt;"),"")</x:f>
      </x:c>
    </x:row>
    <x:row r="17" ht="23" customHeight="1">
      <x:c r="A17" s="44" t="str">
        <x:v>Journal or reflect</x:v>
      </x:c>
      <x:c r="B17" s="45" t="str">
        <x:v>Evening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  <x:c r="AA17" s="46"/>
      <x:c r="AB17" s="46"/>
      <x:c r="AC17" s="46"/>
      <x:c r="AD17" s="46"/>
      <x:c r="AE17" s="46"/>
      <x:c r="AF17" s="46"/>
      <x:c r="AG17" s="46"/>
      <x:c r="AH17" s="47" t="str">
        <x:f>IFERROR(COUNTIF(C17:AG17,"Done")/COUNTIF(C17:AG17,"&lt;&gt;"),"")</x:f>
      </x:c>
    </x:row>
    <x:row r="18" ht="23" customHeight="1">
      <x:c r="A18" s="44" t="str">
        <x:v>Wind down for sleep</x:v>
      </x:c>
      <x:c r="B18" s="45" t="str">
        <x:v>Evening</x:v>
      </x:c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  <x:c r="AA18" s="46"/>
      <x:c r="AB18" s="46"/>
      <x:c r="AC18" s="46"/>
      <x:c r="AD18" s="46"/>
      <x:c r="AE18" s="46"/>
      <x:c r="AF18" s="46"/>
      <x:c r="AG18" s="46"/>
      <x:c r="AH18" s="47" t="str">
        <x:f>IFERROR(COUNTIF(C18:AG18,"Done")/COUNTIF(C18:AG18,"&lt;&gt;"),"")</x:f>
      </x:c>
    </x:row>
    <x:row r="19" ht="23" customHeight="1">
      <x:c r="A19" s="48" t="str">
        <x:v>Daily completion</x:v>
      </x:c>
      <x:c r="B19" s="48" t="str"/>
      <x:c r="C19" s="49" t="str">
        <x:f>IF(COUNTIF(C7:C18,"&lt;&gt;")=0,"",COUNTIF(C7:C18,"Done")/COUNTIF(C7:C18,"&lt;&gt;"))</x:f>
      </x:c>
      <x:c r="D19" s="49" t="str">
        <x:f>IF(COUNTIF(D7:D18,"&lt;&gt;")=0,"",COUNTIF(D7:D18,"Done")/COUNTIF(D7:D18,"&lt;&gt;"))</x:f>
      </x:c>
      <x:c r="E19" s="49" t="str">
        <x:f>IF(COUNTIF(E7:E18,"&lt;&gt;")=0,"",COUNTIF(E7:E18,"Done")/COUNTIF(E7:E18,"&lt;&gt;"))</x:f>
      </x:c>
      <x:c r="F19" s="49" t="str">
        <x:f>IF(COUNTIF(F7:F18,"&lt;&gt;")=0,"",COUNTIF(F7:F18,"Done")/COUNTIF(F7:F18,"&lt;&gt;"))</x:f>
      </x:c>
      <x:c r="G19" s="49" t="str">
        <x:f>IF(COUNTIF(G7:G18,"&lt;&gt;")=0,"",COUNTIF(G7:G18,"Done")/COUNTIF(G7:G18,"&lt;&gt;"))</x:f>
      </x:c>
      <x:c r="H19" s="49" t="str">
        <x:f>IF(COUNTIF(H7:H18,"&lt;&gt;")=0,"",COUNTIF(H7:H18,"Done")/COUNTIF(H7:H18,"&lt;&gt;"))</x:f>
      </x:c>
      <x:c r="I19" s="49" t="str">
        <x:f>IF(COUNTIF(I7:I18,"&lt;&gt;")=0,"",COUNTIF(I7:I18,"Done")/COUNTIF(I7:I18,"&lt;&gt;"))</x:f>
      </x:c>
      <x:c r="J19" s="49" t="str">
        <x:f>IF(COUNTIF(J7:J18,"&lt;&gt;")=0,"",COUNTIF(J7:J18,"Done")/COUNTIF(J7:J18,"&lt;&gt;"))</x:f>
      </x:c>
      <x:c r="K19" s="49" t="str">
        <x:f>IF(COUNTIF(K7:K18,"&lt;&gt;")=0,"",COUNTIF(K7:K18,"Done")/COUNTIF(K7:K18,"&lt;&gt;"))</x:f>
      </x:c>
      <x:c r="L19" s="49" t="str">
        <x:f>IF(COUNTIF(L7:L18,"&lt;&gt;")=0,"",COUNTIF(L7:L18,"Done")/COUNTIF(L7:L18,"&lt;&gt;"))</x:f>
      </x:c>
      <x:c r="M19" s="49" t="str">
        <x:f>IF(COUNTIF(M7:M18,"&lt;&gt;")=0,"",COUNTIF(M7:M18,"Done")/COUNTIF(M7:M18,"&lt;&gt;"))</x:f>
      </x:c>
      <x:c r="N19" s="49" t="str">
        <x:f>IF(COUNTIF(N7:N18,"&lt;&gt;")=0,"",COUNTIF(N7:N18,"Done")/COUNTIF(N7:N18,"&lt;&gt;"))</x:f>
      </x:c>
      <x:c r="O19" s="49" t="str">
        <x:f>IF(COUNTIF(O7:O18,"&lt;&gt;")=0,"",COUNTIF(O7:O18,"Done")/COUNTIF(O7:O18,"&lt;&gt;"))</x:f>
      </x:c>
      <x:c r="P19" s="49" t="str">
        <x:f>IF(COUNTIF(P7:P18,"&lt;&gt;")=0,"",COUNTIF(P7:P18,"Done")/COUNTIF(P7:P18,"&lt;&gt;"))</x:f>
      </x:c>
      <x:c r="Q19" s="49" t="str">
        <x:f>IF(COUNTIF(Q7:Q18,"&lt;&gt;")=0,"",COUNTIF(Q7:Q18,"Done")/COUNTIF(Q7:Q18,"&lt;&gt;"))</x:f>
      </x:c>
      <x:c r="R19" s="49" t="str">
        <x:f>IF(COUNTIF(R7:R18,"&lt;&gt;")=0,"",COUNTIF(R7:R18,"Done")/COUNTIF(R7:R18,"&lt;&gt;"))</x:f>
      </x:c>
      <x:c r="S19" s="49" t="str">
        <x:f>IF(COUNTIF(S7:S18,"&lt;&gt;")=0,"",COUNTIF(S7:S18,"Done")/COUNTIF(S7:S18,"&lt;&gt;"))</x:f>
      </x:c>
      <x:c r="T19" s="49" t="str">
        <x:f>IF(COUNTIF(T7:T18,"&lt;&gt;")=0,"",COUNTIF(T7:T18,"Done")/COUNTIF(T7:T18,"&lt;&gt;"))</x:f>
      </x:c>
      <x:c r="U19" s="49" t="str">
        <x:f>IF(COUNTIF(U7:U18,"&lt;&gt;")=0,"",COUNTIF(U7:U18,"Done")/COUNTIF(U7:U18,"&lt;&gt;"))</x:f>
      </x:c>
      <x:c r="V19" s="49" t="str">
        <x:f>IF(COUNTIF(V7:V18,"&lt;&gt;")=0,"",COUNTIF(V7:V18,"Done")/COUNTIF(V7:V18,"&lt;&gt;"))</x:f>
      </x:c>
      <x:c r="W19" s="49" t="str">
        <x:f>IF(COUNTIF(W7:W18,"&lt;&gt;")=0,"",COUNTIF(W7:W18,"Done")/COUNTIF(W7:W18,"&lt;&gt;"))</x:f>
      </x:c>
      <x:c r="X19" s="49" t="str">
        <x:f>IF(COUNTIF(X7:X18,"&lt;&gt;")=0,"",COUNTIF(X7:X18,"Done")/COUNTIF(X7:X18,"&lt;&gt;"))</x:f>
      </x:c>
      <x:c r="Y19" s="49" t="str">
        <x:f>IF(COUNTIF(Y7:Y18,"&lt;&gt;")=0,"",COUNTIF(Y7:Y18,"Done")/COUNTIF(Y7:Y18,"&lt;&gt;"))</x:f>
      </x:c>
      <x:c r="Z19" s="49" t="str">
        <x:f>IF(COUNTIF(Z7:Z18,"&lt;&gt;")=0,"",COUNTIF(Z7:Z18,"Done")/COUNTIF(Z7:Z18,"&lt;&gt;"))</x:f>
      </x:c>
      <x:c r="AA19" s="49" t="str">
        <x:f>IF(COUNTIF(AA7:AA18,"&lt;&gt;")=0,"",COUNTIF(AA7:AA18,"Done")/COUNTIF(AA7:AA18,"&lt;&gt;"))</x:f>
      </x:c>
      <x:c r="AB19" s="49" t="str">
        <x:f>IF(COUNTIF(AB7:AB18,"&lt;&gt;")=0,"",COUNTIF(AB7:AB18,"Done")/COUNTIF(AB7:AB18,"&lt;&gt;"))</x:f>
      </x:c>
      <x:c r="AC19" s="49" t="str">
        <x:f>IF(COUNTIF(AC7:AC18,"&lt;&gt;")=0,"",COUNTIF(AC7:AC18,"Done")/COUNTIF(AC7:AC18,"&lt;&gt;"))</x:f>
      </x:c>
      <x:c r="AD19" s="49" t="str">
        <x:f>IF(COUNTIF(AD7:AD18,"&lt;&gt;")=0,"",COUNTIF(AD7:AD18,"Done")/COUNTIF(AD7:AD18,"&lt;&gt;"))</x:f>
      </x:c>
      <x:c r="AE19" s="49" t="str">
        <x:f>IF(COUNTIF(AE7:AE18,"&lt;&gt;")=0,"",COUNTIF(AE7:AE18,"Done")/COUNTIF(AE7:AE18,"&lt;&gt;"))</x:f>
      </x:c>
      <x:c r="AF19" s="49" t="str">
        <x:f>IF(COUNTIF(AF7:AF18,"&lt;&gt;")=0,"",COUNTIF(AF7:AF18,"Done")/COUNTIF(AF7:AF18,"&lt;&gt;"))</x:f>
      </x:c>
      <x:c r="AG19" s="49" t="str">
        <x:f>IF(COUNTIF(AG7:AG18,"&lt;&gt;")=0,"",COUNTIF(AG7:AG18,"Done")/COUNTIF(AG7:AG18,"&lt;&gt;"))</x:f>
      </x:c>
      <x:c r="AH19" s="49" t="str">
        <x:f>IF(AH3="","",AH3)</x:f>
      </x:c>
    </x:row>
  </x:sheetData>
  <x:conditionalFormatting sqref="C7:AG18">
    <x:cfRule type="containsText" dxfId="0" priority="1" operator="containsText" text="Done"/>
    <x:cfRule type="containsText" dxfId="1" priority="2" operator="containsText" text="Skipped"/>
  </x:conditionalFormatting>
  <x:dataValidations count="1">
    <x:dataValidation type="list" sqref="C7:AG18">
      <x:formula1>"Done,Skipped"</x:formula1>
    </x:dataValidation>
  </x:dataValidations>
  <x:pageMargins left="0.7" right="0.7" top="0.75" bottom="0.75" header="0.3" footer="0.3"/>
</x:worksheet>
</file>